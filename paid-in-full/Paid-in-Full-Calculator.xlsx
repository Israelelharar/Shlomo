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mum Rate" sheetId="1" state="visible" r:id="rId1"/>
    <sheet name="Quote Builder" sheetId="2" state="visible" r:id="rId2"/>
    <sheet name="Invoi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0.0"/>
    <numFmt numFmtId="166" formatCode="dd-mmm-yy"/>
  </numFmts>
  <fonts count="17">
    <font>
      <name val="Calibri"/>
      <family val="2"/>
      <color theme="1"/>
      <sz val="11"/>
      <scheme val="minor"/>
    </font>
    <font>
      <name val="Georgia"/>
      <b val="1"/>
      <color rgb="0012332B"/>
      <sz val="20"/>
    </font>
    <font>
      <i val="1"/>
      <color rgb="006B7B74"/>
      <sz val="10"/>
    </font>
    <font>
      <b val="1"/>
      <color rgb="00D9962B"/>
      <sz val="9"/>
    </font>
    <font>
      <color rgb="0012332B"/>
      <sz val="11"/>
    </font>
    <font>
      <color rgb="0012332B"/>
      <sz val="12"/>
    </font>
    <font>
      <i val="1"/>
      <color rgb="006B7B74"/>
      <sz val="9"/>
    </font>
    <font>
      <b val="1"/>
      <color rgb="0012332B"/>
      <sz val="11"/>
    </font>
    <font>
      <b val="1"/>
      <color rgb="0012332B"/>
      <sz val="12"/>
    </font>
    <font>
      <b val="1"/>
      <color rgb="00FFFFFF"/>
      <sz val="13"/>
    </font>
    <font>
      <b val="1"/>
      <color rgb="00FFFFFF"/>
      <sz val="10"/>
    </font>
    <font>
      <b val="1"/>
    </font>
    <font>
      <color rgb="0012332B"/>
    </font>
    <font>
      <sz val="11"/>
    </font>
    <font>
      <b val="1"/>
      <color rgb="0012332B"/>
    </font>
    <font>
      <b val="1"/>
      <sz val="12"/>
    </font>
    <font>
      <b val="1"/>
      <color rgb="00B6452C"/>
    </font>
  </fonts>
  <fills count="4">
    <fill>
      <patternFill/>
    </fill>
    <fill>
      <patternFill patternType="gray125"/>
    </fill>
    <fill>
      <patternFill patternType="solid">
        <fgColor rgb="00FFF6DD"/>
      </patternFill>
    </fill>
    <fill>
      <patternFill patternType="solid">
        <fgColor rgb="0012332B"/>
      </patternFill>
    </fill>
  </fills>
  <borders count="2">
    <border>
      <left/>
      <right/>
      <top/>
      <bottom/>
      <diagonal/>
    </border>
    <border>
      <bottom style="thin">
        <color rgb="00CFC6B2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applyAlignment="1" pivotButton="0" quotePrefix="0" xfId="0">
      <alignment horizontal="right"/>
    </xf>
    <xf numFmtId="0" fontId="6" fillId="0" borderId="0" pivotButton="0" quotePrefix="0" xfId="0"/>
    <xf numFmtId="9" fontId="5" fillId="2" borderId="1" applyAlignment="1" pivotButton="0" quotePrefix="0" xfId="0">
      <alignment horizontal="right"/>
    </xf>
    <xf numFmtId="0" fontId="7" fillId="0" borderId="0" pivotButton="0" quotePrefix="0" xfId="0"/>
    <xf numFmtId="3" fontId="8" fillId="0" borderId="1" applyAlignment="1" pivotButton="0" quotePrefix="0" xfId="0">
      <alignment horizontal="right"/>
    </xf>
    <xf numFmtId="1" fontId="5" fillId="2" borderId="1" applyAlignment="1" pivotButton="0" quotePrefix="0" xfId="0">
      <alignment horizontal="right"/>
    </xf>
    <xf numFmtId="4" fontId="9" fillId="3" borderId="1" applyAlignment="1" pivotButton="0" quotePrefix="0" xfId="0">
      <alignment horizontal="right"/>
    </xf>
    <xf numFmtId="3" fontId="9" fillId="3" borderId="1" applyAlignment="1" pivotButton="0" quotePrefix="0" xfId="0">
      <alignment horizontal="right"/>
    </xf>
    <xf numFmtId="4" fontId="5" fillId="2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0" fontId="10" fillId="3" borderId="0" applyAlignment="1" pivotButton="0" quotePrefix="0" xfId="0">
      <alignment horizontal="left"/>
    </xf>
    <xf numFmtId="0" fontId="10" fillId="3" borderId="0" applyAlignment="1" pivotButton="0" quotePrefix="0" xfId="0">
      <alignment horizont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11" fillId="0" borderId="0" pivotButton="0" quotePrefix="0" xfId="0"/>
    <xf numFmtId="165" fontId="11" fillId="0" borderId="0" applyAlignment="1" pivotButton="0" quotePrefix="0" xfId="0">
      <alignment horizontal="center"/>
    </xf>
    <xf numFmtId="0" fontId="12" fillId="0" borderId="0" pivotButton="0" quotePrefix="0" xfId="0"/>
    <xf numFmtId="9" fontId="13" fillId="2" borderId="1" applyAlignment="1" pivotButton="0" quotePrefix="0" xfId="0">
      <alignment horizontal="right"/>
    </xf>
    <xf numFmtId="4" fontId="13" fillId="2" borderId="1" applyAlignment="1" pivotButton="0" quotePrefix="0" xfId="0">
      <alignment horizontal="right"/>
    </xf>
    <xf numFmtId="3" fontId="13" fillId="2" borderId="1" applyAlignment="1" pivotButton="0" quotePrefix="0" xfId="0">
      <alignment horizontal="right"/>
    </xf>
    <xf numFmtId="0" fontId="14" fillId="0" borderId="0" pivotButton="0" quotePrefix="0" xfId="0"/>
    <xf numFmtId="4" fontId="15" fillId="0" borderId="1" applyAlignment="1" pivotButton="0" quotePrefix="0" xfId="0">
      <alignment horizontal="right"/>
    </xf>
    <xf numFmtId="3" fontId="13" fillId="0" borderId="1" applyAlignment="1" pivotButton="0" quotePrefix="0" xfId="0">
      <alignment horizontal="right"/>
    </xf>
    <xf numFmtId="0" fontId="10" fillId="3" borderId="0" pivotButton="0" quotePrefix="0" xfId="0"/>
    <xf numFmtId="3" fontId="0" fillId="2" borderId="1" pivotButton="0" quotePrefix="0" xfId="0"/>
    <xf numFmtId="166" fontId="0" fillId="2" borderId="1" pivotButton="0" quotePrefix="0" xfId="0"/>
    <xf numFmtId="0" fontId="0" fillId="0" borderId="1" pivotButton="0" quotePrefix="0" xfId="0"/>
    <xf numFmtId="3" fontId="11" fillId="0" borderId="0" pivotButton="0" quotePrefix="0" xfId="0"/>
    <xf numFmtId="0" fontId="16" fillId="0" borderId="0" pivotButton="0" quotePrefix="0" xfId="0"/>
    <xf numFmtId="3" fontId="16" fillId="0" borderId="0" pivotButton="0" quotePrefix="0" xfId="0"/>
  </cellXfs>
  <cellStyles count="1">
    <cellStyle name="Normal" xfId="0" builtinId="0" hidden="0"/>
  </cellStyles>
  <dxfs count="3">
    <dxf>
      <font>
        <b val="1"/>
        <color rgb="00B6452C"/>
      </font>
      <fill>
        <patternFill patternType="solid">
          <fgColor rgb="00F5D0C5"/>
        </patternFill>
      </fill>
    </dxf>
    <dxf>
      <font>
        <color rgb="001E6B3A"/>
      </font>
      <fill>
        <patternFill patternType="solid">
          <fgColor rgb="00D6EAD8"/>
        </patternFill>
      </fill>
    </dxf>
    <dxf>
      <fill>
        <patternFill patternType="solid">
          <fgColor rgb="00FBE7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18" customWidth="1" min="3" max="3"/>
    <col width="48" customWidth="1" min="4" max="4"/>
  </cols>
  <sheetData>
    <row r="2">
      <c r="B2" s="1" t="inlineStr">
        <is>
          <t>Paid in Full — Minimum Rate Calculator</t>
        </is>
      </c>
    </row>
    <row r="3">
      <c r="B3" s="2" t="inlineStr">
        <is>
          <t>Fill in the yellow cells (yearly figures, your currency). Everything else calculates automatically.</t>
        </is>
      </c>
    </row>
    <row r="5">
      <c r="B5" s="3" t="inlineStr">
        <is>
          <t>YOUR NUMBERS</t>
        </is>
      </c>
    </row>
    <row r="6">
      <c r="B6" s="4" t="inlineStr">
        <is>
          <t>A · Take-home pay you want per year</t>
        </is>
      </c>
      <c r="C6" s="5" t="n">
        <v>48000</v>
      </c>
    </row>
    <row r="7">
      <c r="B7" s="4" t="inlineStr">
        <is>
          <t>B · Business costs per year (software, equipment, insurance, accountant…)</t>
        </is>
      </c>
      <c r="C7" s="5" t="n">
        <v>6000</v>
      </c>
    </row>
    <row r="8">
      <c r="B8" s="4" t="inlineStr">
        <is>
          <t>C · Savings buffer (pension, sick days, quiet months)</t>
        </is>
      </c>
      <c r="C8" s="5" t="n">
        <v>7200</v>
      </c>
      <c r="D8" s="6" t="inlineStr">
        <is>
          <t>Suggestion: 10–20% of A</t>
        </is>
      </c>
    </row>
    <row r="9">
      <c r="B9" s="4" t="inlineStr">
        <is>
          <t>D · Estimated tax &amp; social contributions (% of profit)</t>
        </is>
      </c>
      <c r="C9" s="7" t="n">
        <v>0.3</v>
      </c>
      <c r="D9" s="6" t="inlineStr">
        <is>
          <t>Check with your accountant</t>
        </is>
      </c>
    </row>
    <row r="10">
      <c r="B10" s="8" t="inlineStr">
        <is>
          <t>E · Revenue needed per year</t>
        </is>
      </c>
      <c r="C10" s="9">
        <f>(C6+C8)/(1-C9)+C7</f>
        <v/>
      </c>
    </row>
    <row r="12">
      <c r="B12" s="3" t="inlineStr">
        <is>
          <t>YOUR TIME</t>
        </is>
      </c>
    </row>
    <row r="13">
      <c r="B13" s="4" t="inlineStr">
        <is>
          <t>F · Weeks worked per year</t>
        </is>
      </c>
      <c r="C13" s="10" t="n">
        <v>44</v>
      </c>
      <c r="D13" s="6" t="inlineStr">
        <is>
          <t>52 minus holidays &amp; sick days</t>
        </is>
      </c>
    </row>
    <row r="14">
      <c r="B14" s="4" t="inlineStr">
        <is>
          <t>G · Hours worked per week</t>
        </is>
      </c>
      <c r="C14" s="10" t="n">
        <v>40</v>
      </c>
    </row>
    <row r="15">
      <c r="B15" s="4" t="inlineStr">
        <is>
          <t>H · % of time that's billable</t>
        </is>
      </c>
      <c r="C15" s="7" t="n">
        <v>0.6</v>
      </c>
      <c r="D15" s="6" t="inlineStr">
        <is>
          <t>Many freelancers land around 50–70%</t>
        </is>
      </c>
    </row>
    <row r="16">
      <c r="B16" s="8" t="inlineStr">
        <is>
          <t>I · Billable hours per year</t>
        </is>
      </c>
      <c r="C16" s="9">
        <f>C13*C14*C15</f>
        <v/>
      </c>
    </row>
    <row r="18">
      <c r="B18" s="3" t="inlineStr">
        <is>
          <t>RESULTS</t>
        </is>
      </c>
    </row>
    <row r="19">
      <c r="B19" s="8" t="inlineStr">
        <is>
          <t>★ Minimum hourly rate</t>
        </is>
      </c>
      <c r="C19" s="11">
        <f>C10/C16</f>
        <v/>
      </c>
    </row>
    <row r="20">
      <c r="B20" s="8" t="inlineStr">
        <is>
          <t>Minimum day rate</t>
        </is>
      </c>
      <c r="C20" s="11">
        <f>C19*C14*C15/5</f>
        <v/>
      </c>
    </row>
    <row r="21">
      <c r="B21" s="8" t="inlineStr">
        <is>
          <t>Minimum monthly revenue</t>
        </is>
      </c>
      <c r="C21" s="12">
        <f>C10/12</f>
        <v/>
      </c>
    </row>
    <row r="23">
      <c r="B23" s="4" t="inlineStr">
        <is>
          <t>Your current hourly rate</t>
        </is>
      </c>
      <c r="C23" s="13" t="n">
        <v>60</v>
      </c>
    </row>
    <row r="24">
      <c r="B24" s="8" t="inlineStr">
        <is>
          <t>Gap vs. minimum (negative = you're under-charging)</t>
        </is>
      </c>
      <c r="C24" s="14">
        <f>C23-C19</f>
        <v/>
      </c>
    </row>
    <row r="26">
      <c r="B26" s="6" t="inlineStr">
        <is>
          <t>General estimate for planning only — not tax or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4" customWidth="1" min="7" max="7"/>
  </cols>
  <sheetData>
    <row r="2">
      <c r="B2" s="1" t="inlineStr">
        <is>
          <t>Project Quote Builder</t>
        </is>
      </c>
    </row>
    <row r="3">
      <c r="B3" s="2" t="inlineStr">
        <is>
          <t>Three-point estimate: (Best + 4×Likely + Worst) ÷ 6, plus a risk buffer.</t>
        </is>
      </c>
    </row>
    <row r="5">
      <c r="B5" s="15" t="inlineStr">
        <is>
          <t>Phase / deliverable</t>
        </is>
      </c>
      <c r="C5" s="16" t="inlineStr">
        <is>
          <t>Best-case hrs</t>
        </is>
      </c>
      <c r="D5" s="16" t="inlineStr">
        <is>
          <t>Likely hrs</t>
        </is>
      </c>
      <c r="E5" s="16" t="inlineStr">
        <is>
          <t>Worst-case hrs</t>
        </is>
      </c>
      <c r="F5" s="16" t="inlineStr">
        <is>
          <t>Weighted hrs</t>
        </is>
      </c>
    </row>
    <row r="6">
      <c r="B6" s="17" t="inlineStr">
        <is>
          <t>Discovery call + brief</t>
        </is>
      </c>
      <c r="C6" s="18" t="n">
        <v>2</v>
      </c>
      <c r="D6" s="18" t="n">
        <v>3</v>
      </c>
      <c r="E6" s="18" t="n">
        <v>5</v>
      </c>
      <c r="F6" s="19">
        <f>IF(COUNT(C6:E6)=3,(C6+4*D6+E6)/6,"")</f>
        <v/>
      </c>
    </row>
    <row r="7">
      <c r="B7" s="17" t="inlineStr">
        <is>
          <t>First draft</t>
        </is>
      </c>
      <c r="C7" s="18" t="n">
        <v>8</v>
      </c>
      <c r="D7" s="18" t="n">
        <v>12</v>
      </c>
      <c r="E7" s="18" t="n">
        <v>18</v>
      </c>
      <c r="F7" s="19">
        <f>IF(COUNT(C7:E7)=3,(C7+4*D7+E7)/6,"")</f>
        <v/>
      </c>
    </row>
    <row r="8">
      <c r="B8" s="17" t="inlineStr">
        <is>
          <t>Revisions (2 rounds)</t>
        </is>
      </c>
      <c r="C8" s="18" t="n">
        <v>3</v>
      </c>
      <c r="D8" s="18" t="n">
        <v>5</v>
      </c>
      <c r="E8" s="18" t="n">
        <v>8</v>
      </c>
      <c r="F8" s="19">
        <f>IF(COUNT(C8:E8)=3,(C8+4*D8+E8)/6,"")</f>
        <v/>
      </c>
    </row>
    <row r="9">
      <c r="B9" s="17" t="inlineStr">
        <is>
          <t>Final delivery &amp; handover</t>
        </is>
      </c>
      <c r="C9" s="18" t="n">
        <v>1</v>
      </c>
      <c r="D9" s="18" t="n">
        <v>2</v>
      </c>
      <c r="E9" s="18" t="n">
        <v>3</v>
      </c>
      <c r="F9" s="19">
        <f>IF(COUNT(C9:E9)=3,(C9+4*D9+E9)/6,"")</f>
        <v/>
      </c>
    </row>
    <row r="10">
      <c r="B10" s="17" t="inlineStr">
        <is>
          <t>Project management, calls, email</t>
        </is>
      </c>
      <c r="C10" s="18" t="n">
        <v>2</v>
      </c>
      <c r="D10" s="18" t="n">
        <v>3</v>
      </c>
      <c r="E10" s="18" t="n">
        <v>5</v>
      </c>
      <c r="F10" s="19">
        <f>IF(COUNT(C10:E10)=3,(C10+4*D10+E10)/6,"")</f>
        <v/>
      </c>
    </row>
    <row r="11">
      <c r="B11" s="17" t="inlineStr"/>
      <c r="C11" s="18" t="n"/>
      <c r="D11" s="18" t="n"/>
      <c r="E11" s="18" t="n"/>
      <c r="F11" s="19">
        <f>IF(COUNT(C11:E11)=3,(C11+4*D11+E11)/6,"")</f>
        <v/>
      </c>
    </row>
    <row r="12">
      <c r="B12" s="17" t="inlineStr"/>
      <c r="C12" s="18" t="n"/>
      <c r="D12" s="18" t="n"/>
      <c r="E12" s="18" t="n"/>
      <c r="F12" s="19">
        <f>IF(COUNT(C12:E12)=3,(C12+4*D12+E12)/6,"")</f>
        <v/>
      </c>
    </row>
    <row r="13">
      <c r="B13" s="17" t="inlineStr"/>
      <c r="C13" s="18" t="n"/>
      <c r="D13" s="18" t="n"/>
      <c r="E13" s="18" t="n"/>
      <c r="F13" s="19">
        <f>IF(COUNT(C13:E13)=3,(C13+4*D13+E13)/6,"")</f>
        <v/>
      </c>
    </row>
    <row r="14">
      <c r="B14" s="17" t="inlineStr"/>
      <c r="C14" s="18" t="n"/>
      <c r="D14" s="18" t="n"/>
      <c r="E14" s="18" t="n"/>
      <c r="F14" s="19">
        <f>IF(COUNT(C14:E14)=3,(C14+4*D14+E14)/6,"")</f>
        <v/>
      </c>
    </row>
    <row r="15">
      <c r="B15" s="17" t="inlineStr"/>
      <c r="C15" s="18" t="n"/>
      <c r="D15" s="18" t="n"/>
      <c r="E15" s="18" t="n"/>
      <c r="F15" s="19">
        <f>IF(COUNT(C15:E15)=3,(C15+4*D15+E15)/6,"")</f>
        <v/>
      </c>
    </row>
    <row r="16">
      <c r="B16" s="20" t="inlineStr">
        <is>
          <t>Total estimated hours</t>
        </is>
      </c>
      <c r="F16" s="21">
        <f>SUM(F6:F15)</f>
        <v/>
      </c>
    </row>
    <row r="18">
      <c r="B18" s="22" t="inlineStr">
        <is>
          <t>Risk buffer</t>
        </is>
      </c>
      <c r="C18" s="6" t="inlineStr">
        <is>
          <t>10% clear brief · 20–30% new client / vague brief</t>
        </is>
      </c>
      <c r="F18" s="23" t="n">
        <v>0.15</v>
      </c>
    </row>
    <row r="19">
      <c r="B19" s="22" t="inlineStr">
        <is>
          <t>Your hourly rate for this project</t>
        </is>
      </c>
      <c r="C19" s="6" t="inlineStr">
        <is>
          <t>Defaults to your minimum — type over it to go higher</t>
        </is>
      </c>
      <c r="F19" s="24">
        <f>'Minimum Rate'!C19</f>
        <v/>
      </c>
    </row>
    <row r="20">
      <c r="B20" s="22" t="inlineStr">
        <is>
          <t>Direct costs (stock, plugins, subcontractors)</t>
        </is>
      </c>
      <c r="F20" s="25" t="n">
        <v>0</v>
      </c>
    </row>
    <row r="21">
      <c r="B21" s="26" t="inlineStr">
        <is>
          <t>★ Base price</t>
        </is>
      </c>
      <c r="F21" s="12">
        <f>F16*(1+F18)*F19+F20</f>
        <v/>
      </c>
    </row>
    <row r="23">
      <c r="B23" s="22" t="inlineStr">
        <is>
          <t>Final quoted price (after the value check)</t>
        </is>
      </c>
      <c r="F23" s="25" t="n"/>
    </row>
    <row r="24">
      <c r="B24" s="26" t="inlineStr">
        <is>
          <t>Effective hourly at quoted price</t>
        </is>
      </c>
      <c r="F24" s="27">
        <f>IF(F23="","",(F23-F20)/F16)</f>
        <v/>
      </c>
    </row>
    <row r="26">
      <c r="B26" s="3" t="inlineStr">
        <is>
          <t>Package guide (rough starting points — adjust to your market)</t>
        </is>
      </c>
    </row>
    <row r="27">
      <c r="B27" s="22" t="inlineStr">
        <is>
          <t>Good (essentials)</t>
        </is>
      </c>
      <c r="F27" s="28">
        <f>F21*0.7</f>
        <v/>
      </c>
    </row>
    <row r="28">
      <c r="B28" s="22" t="inlineStr">
        <is>
          <t>Better (recommended)</t>
        </is>
      </c>
      <c r="F28" s="28">
        <f>F21</f>
        <v/>
      </c>
    </row>
    <row r="29">
      <c r="B29" s="22" t="inlineStr">
        <is>
          <t>Best (premium)</t>
        </is>
      </c>
      <c r="F29" s="28">
        <f>F21*2</f>
        <v/>
      </c>
    </row>
    <row r="30">
      <c r="B30" s="6" t="inlineStr">
        <is>
          <t>Tip: never let 'Good' drop your effective hourly below your minimum rate — remove scope instead.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5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34" customWidth="1" min="10" max="10"/>
  </cols>
  <sheetData>
    <row r="2">
      <c r="B2" s="1" t="inlineStr">
        <is>
          <t>Client &amp; Invoice Tracker</t>
        </is>
      </c>
    </row>
    <row r="3">
      <c r="B3" s="2" t="inlineStr">
        <is>
          <t>Check every Monday. Status and 'next step' update automatically from the dates.</t>
        </is>
      </c>
    </row>
    <row r="5">
      <c r="B5" s="29" t="inlineStr">
        <is>
          <t>Client</t>
        </is>
      </c>
      <c r="C5" s="29" t="inlineStr">
        <is>
          <t>Invoice #</t>
        </is>
      </c>
      <c r="D5" s="29" t="inlineStr">
        <is>
          <t>Amount</t>
        </is>
      </c>
      <c r="E5" s="29" t="inlineStr">
        <is>
          <t>Sent</t>
        </is>
      </c>
      <c r="F5" s="29" t="inlineStr">
        <is>
          <t>Due</t>
        </is>
      </c>
      <c r="G5" s="29" t="inlineStr">
        <is>
          <t>Paid on</t>
        </is>
      </c>
      <c r="H5" s="29" t="inlineStr">
        <is>
          <t>Days overdue</t>
        </is>
      </c>
      <c r="I5" s="29" t="inlineStr">
        <is>
          <t>Status</t>
        </is>
      </c>
      <c r="J5" s="29" t="inlineStr">
        <is>
          <t>Next chase step</t>
        </is>
      </c>
    </row>
    <row r="6">
      <c r="B6" s="17" t="inlineStr">
        <is>
          <t>Example Client Ltd</t>
        </is>
      </c>
      <c r="C6" s="17" t="inlineStr">
        <is>
          <t>0427</t>
        </is>
      </c>
      <c r="D6" s="30" t="n">
        <v>5450</v>
      </c>
      <c r="E6" s="31">
        <f>TODAY()-20</f>
        <v/>
      </c>
      <c r="F6" s="31">
        <f>TODAY()-6</f>
        <v/>
      </c>
      <c r="G6" s="31" t="n"/>
      <c r="H6" s="32">
        <f>IF(OR(F6="",G6&lt;&gt;""),"",MAX(0,TODAY()-F6))</f>
        <v/>
      </c>
      <c r="I6" s="32">
        <f>IF(B6="","",IF(G6&lt;&gt;"","Paid",IF(F6="","No due date",IF(TODAY()&gt;F6,"Overdue",IF(F6-TODAY()&lt;=3,"Due soon","Open")))))</f>
        <v/>
      </c>
      <c r="J6" s="32">
        <f>IF(OR(I6="Paid",I6=""),"",IF(I6="Due soon","Step 1 · friendly reminder",IF(I6="Open","—",IF(H6&gt;=30,"Step 5 · final notice",IF(H6&gt;=14,"Step 4 · firm notice + pause",IF(H6&gt;=7,"Step 3 · direct follow-up + call","Step 2 · due-date nudge"))))))</f>
        <v/>
      </c>
    </row>
    <row r="7">
      <c r="B7" s="17" t="n"/>
      <c r="C7" s="17" t="n"/>
      <c r="D7" s="30" t="n"/>
      <c r="E7" s="31" t="n"/>
      <c r="F7" s="31" t="n"/>
      <c r="G7" s="31" t="n"/>
      <c r="H7" s="32">
        <f>IF(OR(F7="",G7&lt;&gt;""),"",MAX(0,TODAY()-F7))</f>
        <v/>
      </c>
      <c r="I7" s="32">
        <f>IF(B7="","",IF(G7&lt;&gt;"","Paid",IF(F7="","No due date",IF(TODAY()&gt;F7,"Overdue",IF(F7-TODAY()&lt;=3,"Due soon","Open")))))</f>
        <v/>
      </c>
      <c r="J7" s="32">
        <f>IF(OR(I7="Paid",I7=""),"",IF(I7="Due soon","Step 1 · friendly reminder",IF(I7="Open","—",IF(H7&gt;=30,"Step 5 · final notice",IF(H7&gt;=14,"Step 4 · firm notice + pause",IF(H7&gt;=7,"Step 3 · direct follow-up + call","Step 2 · due-date nudge"))))))</f>
        <v/>
      </c>
    </row>
    <row r="8">
      <c r="B8" s="17" t="n"/>
      <c r="C8" s="17" t="n"/>
      <c r="D8" s="30" t="n"/>
      <c r="E8" s="31" t="n"/>
      <c r="F8" s="31" t="n"/>
      <c r="G8" s="31" t="n"/>
      <c r="H8" s="32">
        <f>IF(OR(F8="",G8&lt;&gt;""),"",MAX(0,TODAY()-F8))</f>
        <v/>
      </c>
      <c r="I8" s="32">
        <f>IF(B8="","",IF(G8&lt;&gt;"","Paid",IF(F8="","No due date",IF(TODAY()&gt;F8,"Overdue",IF(F8-TODAY()&lt;=3,"Due soon","Open")))))</f>
        <v/>
      </c>
      <c r="J8" s="32">
        <f>IF(OR(I8="Paid",I8=""),"",IF(I8="Due soon","Step 1 · friendly reminder",IF(I8="Open","—",IF(H8&gt;=30,"Step 5 · final notice",IF(H8&gt;=14,"Step 4 · firm notice + pause",IF(H8&gt;=7,"Step 3 · direct follow-up + call","Step 2 · due-date nudge"))))))</f>
        <v/>
      </c>
    </row>
    <row r="9">
      <c r="B9" s="17" t="n"/>
      <c r="C9" s="17" t="n"/>
      <c r="D9" s="30" t="n"/>
      <c r="E9" s="31" t="n"/>
      <c r="F9" s="31" t="n"/>
      <c r="G9" s="31" t="n"/>
      <c r="H9" s="32">
        <f>IF(OR(F9="",G9&lt;&gt;""),"",MAX(0,TODAY()-F9))</f>
        <v/>
      </c>
      <c r="I9" s="32">
        <f>IF(B9="","",IF(G9&lt;&gt;"","Paid",IF(F9="","No due date",IF(TODAY()&gt;F9,"Overdue",IF(F9-TODAY()&lt;=3,"Due soon","Open")))))</f>
        <v/>
      </c>
      <c r="J9" s="32">
        <f>IF(OR(I9="Paid",I9=""),"",IF(I9="Due soon","Step 1 · friendly reminder",IF(I9="Open","—",IF(H9&gt;=30,"Step 5 · final notice",IF(H9&gt;=14,"Step 4 · firm notice + pause",IF(H9&gt;=7,"Step 3 · direct follow-up + call","Step 2 · due-date nudge"))))))</f>
        <v/>
      </c>
    </row>
    <row r="10">
      <c r="B10" s="17" t="n"/>
      <c r="C10" s="17" t="n"/>
      <c r="D10" s="30" t="n"/>
      <c r="E10" s="31" t="n"/>
      <c r="F10" s="31" t="n"/>
      <c r="G10" s="31" t="n"/>
      <c r="H10" s="32">
        <f>IF(OR(F10="",G10&lt;&gt;""),"",MAX(0,TODAY()-F10))</f>
        <v/>
      </c>
      <c r="I10" s="32">
        <f>IF(B10="","",IF(G10&lt;&gt;"","Paid",IF(F10="","No due date",IF(TODAY()&gt;F10,"Overdue",IF(F10-TODAY()&lt;=3,"Due soon","Open")))))</f>
        <v/>
      </c>
      <c r="J10" s="32">
        <f>IF(OR(I10="Paid",I10=""),"",IF(I10="Due soon","Step 1 · friendly reminder",IF(I10="Open","—",IF(H10&gt;=30,"Step 5 · final notice",IF(H10&gt;=14,"Step 4 · firm notice + pause",IF(H10&gt;=7,"Step 3 · direct follow-up + call","Step 2 · due-date nudge"))))))</f>
        <v/>
      </c>
    </row>
    <row r="11">
      <c r="B11" s="17" t="n"/>
      <c r="C11" s="17" t="n"/>
      <c r="D11" s="30" t="n"/>
      <c r="E11" s="31" t="n"/>
      <c r="F11" s="31" t="n"/>
      <c r="G11" s="31" t="n"/>
      <c r="H11" s="32">
        <f>IF(OR(F11="",G11&lt;&gt;""),"",MAX(0,TODAY()-F11))</f>
        <v/>
      </c>
      <c r="I11" s="32">
        <f>IF(B11="","",IF(G11&lt;&gt;"","Paid",IF(F11="","No due date",IF(TODAY()&gt;F11,"Overdue",IF(F11-TODAY()&lt;=3,"Due soon","Open")))))</f>
        <v/>
      </c>
      <c r="J11" s="32">
        <f>IF(OR(I11="Paid",I11=""),"",IF(I11="Due soon","Step 1 · friendly reminder",IF(I11="Open","—",IF(H11&gt;=30,"Step 5 · final notice",IF(H11&gt;=14,"Step 4 · firm notice + pause",IF(H11&gt;=7,"Step 3 · direct follow-up + call","Step 2 · due-date nudge"))))))</f>
        <v/>
      </c>
    </row>
    <row r="12">
      <c r="B12" s="17" t="n"/>
      <c r="C12" s="17" t="n"/>
      <c r="D12" s="30" t="n"/>
      <c r="E12" s="31" t="n"/>
      <c r="F12" s="31" t="n"/>
      <c r="G12" s="31" t="n"/>
      <c r="H12" s="32">
        <f>IF(OR(F12="",G12&lt;&gt;""),"",MAX(0,TODAY()-F12))</f>
        <v/>
      </c>
      <c r="I12" s="32">
        <f>IF(B12="","",IF(G12&lt;&gt;"","Paid",IF(F12="","No due date",IF(TODAY()&gt;F12,"Overdue",IF(F12-TODAY()&lt;=3,"Due soon","Open")))))</f>
        <v/>
      </c>
      <c r="J12" s="32">
        <f>IF(OR(I12="Paid",I12=""),"",IF(I12="Due soon","Step 1 · friendly reminder",IF(I12="Open","—",IF(H12&gt;=30,"Step 5 · final notice",IF(H12&gt;=14,"Step 4 · firm notice + pause",IF(H12&gt;=7,"Step 3 · direct follow-up + call","Step 2 · due-date nudge"))))))</f>
        <v/>
      </c>
    </row>
    <row r="13">
      <c r="B13" s="17" t="n"/>
      <c r="C13" s="17" t="n"/>
      <c r="D13" s="30" t="n"/>
      <c r="E13" s="31" t="n"/>
      <c r="F13" s="31" t="n"/>
      <c r="G13" s="31" t="n"/>
      <c r="H13" s="32">
        <f>IF(OR(F13="",G13&lt;&gt;""),"",MAX(0,TODAY()-F13))</f>
        <v/>
      </c>
      <c r="I13" s="32">
        <f>IF(B13="","",IF(G13&lt;&gt;"","Paid",IF(F13="","No due date",IF(TODAY()&gt;F13,"Overdue",IF(F13-TODAY()&lt;=3,"Due soon","Open")))))</f>
        <v/>
      </c>
      <c r="J13" s="32">
        <f>IF(OR(I13="Paid",I13=""),"",IF(I13="Due soon","Step 1 · friendly reminder",IF(I13="Open","—",IF(H13&gt;=30,"Step 5 · final notice",IF(H13&gt;=14,"Step 4 · firm notice + pause",IF(H13&gt;=7,"Step 3 · direct follow-up + call","Step 2 · due-date nudge"))))))</f>
        <v/>
      </c>
    </row>
    <row r="14">
      <c r="B14" s="17" t="n"/>
      <c r="C14" s="17" t="n"/>
      <c r="D14" s="30" t="n"/>
      <c r="E14" s="31" t="n"/>
      <c r="F14" s="31" t="n"/>
      <c r="G14" s="31" t="n"/>
      <c r="H14" s="32">
        <f>IF(OR(F14="",G14&lt;&gt;""),"",MAX(0,TODAY()-F14))</f>
        <v/>
      </c>
      <c r="I14" s="32">
        <f>IF(B14="","",IF(G14&lt;&gt;"","Paid",IF(F14="","No due date",IF(TODAY()&gt;F14,"Overdue",IF(F14-TODAY()&lt;=3,"Due soon","Open")))))</f>
        <v/>
      </c>
      <c r="J14" s="32">
        <f>IF(OR(I14="Paid",I14=""),"",IF(I14="Due soon","Step 1 · friendly reminder",IF(I14="Open","—",IF(H14&gt;=30,"Step 5 · final notice",IF(H14&gt;=14,"Step 4 · firm notice + pause",IF(H14&gt;=7,"Step 3 · direct follow-up + call","Step 2 · due-date nudge"))))))</f>
        <v/>
      </c>
    </row>
    <row r="15">
      <c r="B15" s="17" t="n"/>
      <c r="C15" s="17" t="n"/>
      <c r="D15" s="30" t="n"/>
      <c r="E15" s="31" t="n"/>
      <c r="F15" s="31" t="n"/>
      <c r="G15" s="31" t="n"/>
      <c r="H15" s="32">
        <f>IF(OR(F15="",G15&lt;&gt;""),"",MAX(0,TODAY()-F15))</f>
        <v/>
      </c>
      <c r="I15" s="32">
        <f>IF(B15="","",IF(G15&lt;&gt;"","Paid",IF(F15="","No due date",IF(TODAY()&gt;F15,"Overdue",IF(F15-TODAY()&lt;=3,"Due soon","Open")))))</f>
        <v/>
      </c>
      <c r="J15" s="32">
        <f>IF(OR(I15="Paid",I15=""),"",IF(I15="Due soon","Step 1 · friendly reminder",IF(I15="Open","—",IF(H15&gt;=30,"Step 5 · final notice",IF(H15&gt;=14,"Step 4 · firm notice + pause",IF(H15&gt;=7,"Step 3 · direct follow-up + call","Step 2 · due-date nudge"))))))</f>
        <v/>
      </c>
    </row>
    <row r="16">
      <c r="B16" s="17" t="n"/>
      <c r="C16" s="17" t="n"/>
      <c r="D16" s="30" t="n"/>
      <c r="E16" s="31" t="n"/>
      <c r="F16" s="31" t="n"/>
      <c r="G16" s="31" t="n"/>
      <c r="H16" s="32">
        <f>IF(OR(F16="",G16&lt;&gt;""),"",MAX(0,TODAY()-F16))</f>
        <v/>
      </c>
      <c r="I16" s="32">
        <f>IF(B16="","",IF(G16&lt;&gt;"","Paid",IF(F16="","No due date",IF(TODAY()&gt;F16,"Overdue",IF(F16-TODAY()&lt;=3,"Due soon","Open")))))</f>
        <v/>
      </c>
      <c r="J16" s="32">
        <f>IF(OR(I16="Paid",I16=""),"",IF(I16="Due soon","Step 1 · friendly reminder",IF(I16="Open","—",IF(H16&gt;=30,"Step 5 · final notice",IF(H16&gt;=14,"Step 4 · firm notice + pause",IF(H16&gt;=7,"Step 3 · direct follow-up + call","Step 2 · due-date nudge"))))))</f>
        <v/>
      </c>
    </row>
    <row r="17">
      <c r="B17" s="17" t="n"/>
      <c r="C17" s="17" t="n"/>
      <c r="D17" s="30" t="n"/>
      <c r="E17" s="31" t="n"/>
      <c r="F17" s="31" t="n"/>
      <c r="G17" s="31" t="n"/>
      <c r="H17" s="32">
        <f>IF(OR(F17="",G17&lt;&gt;""),"",MAX(0,TODAY()-F17))</f>
        <v/>
      </c>
      <c r="I17" s="32">
        <f>IF(B17="","",IF(G17&lt;&gt;"","Paid",IF(F17="","No due date",IF(TODAY()&gt;F17,"Overdue",IF(F17-TODAY()&lt;=3,"Due soon","Open")))))</f>
        <v/>
      </c>
      <c r="J17" s="32">
        <f>IF(OR(I17="Paid",I17=""),"",IF(I17="Due soon","Step 1 · friendly reminder",IF(I17="Open","—",IF(H17&gt;=30,"Step 5 · final notice",IF(H17&gt;=14,"Step 4 · firm notice + pause",IF(H17&gt;=7,"Step 3 · direct follow-up + call","Step 2 · due-date nudge"))))))</f>
        <v/>
      </c>
    </row>
    <row r="18">
      <c r="B18" s="17" t="n"/>
      <c r="C18" s="17" t="n"/>
      <c r="D18" s="30" t="n"/>
      <c r="E18" s="31" t="n"/>
      <c r="F18" s="31" t="n"/>
      <c r="G18" s="31" t="n"/>
      <c r="H18" s="32">
        <f>IF(OR(F18="",G18&lt;&gt;""),"",MAX(0,TODAY()-F18))</f>
        <v/>
      </c>
      <c r="I18" s="32">
        <f>IF(B18="","",IF(G18&lt;&gt;"","Paid",IF(F18="","No due date",IF(TODAY()&gt;F18,"Overdue",IF(F18-TODAY()&lt;=3,"Due soon","Open")))))</f>
        <v/>
      </c>
      <c r="J18" s="32">
        <f>IF(OR(I18="Paid",I18=""),"",IF(I18="Due soon","Step 1 · friendly reminder",IF(I18="Open","—",IF(H18&gt;=30,"Step 5 · final notice",IF(H18&gt;=14,"Step 4 · firm notice + pause",IF(H18&gt;=7,"Step 3 · direct follow-up + call","Step 2 · due-date nudge"))))))</f>
        <v/>
      </c>
    </row>
    <row r="19">
      <c r="B19" s="17" t="n"/>
      <c r="C19" s="17" t="n"/>
      <c r="D19" s="30" t="n"/>
      <c r="E19" s="31" t="n"/>
      <c r="F19" s="31" t="n"/>
      <c r="G19" s="31" t="n"/>
      <c r="H19" s="32">
        <f>IF(OR(F19="",G19&lt;&gt;""),"",MAX(0,TODAY()-F19))</f>
        <v/>
      </c>
      <c r="I19" s="32">
        <f>IF(B19="","",IF(G19&lt;&gt;"","Paid",IF(F19="","No due date",IF(TODAY()&gt;F19,"Overdue",IF(F19-TODAY()&lt;=3,"Due soon","Open")))))</f>
        <v/>
      </c>
      <c r="J19" s="32">
        <f>IF(OR(I19="Paid",I19=""),"",IF(I19="Due soon","Step 1 · friendly reminder",IF(I19="Open","—",IF(H19&gt;=30,"Step 5 · final notice",IF(H19&gt;=14,"Step 4 · firm notice + pause",IF(H19&gt;=7,"Step 3 · direct follow-up + call","Step 2 · due-date nudge"))))))</f>
        <v/>
      </c>
    </row>
    <row r="20">
      <c r="B20" s="17" t="n"/>
      <c r="C20" s="17" t="n"/>
      <c r="D20" s="30" t="n"/>
      <c r="E20" s="31" t="n"/>
      <c r="F20" s="31" t="n"/>
      <c r="G20" s="31" t="n"/>
      <c r="H20" s="32">
        <f>IF(OR(F20="",G20&lt;&gt;""),"",MAX(0,TODAY()-F20))</f>
        <v/>
      </c>
      <c r="I20" s="32">
        <f>IF(B20="","",IF(G20&lt;&gt;"","Paid",IF(F20="","No due date",IF(TODAY()&gt;F20,"Overdue",IF(F20-TODAY()&lt;=3,"Due soon","Open")))))</f>
        <v/>
      </c>
      <c r="J20" s="32">
        <f>IF(OR(I20="Paid",I20=""),"",IF(I20="Due soon","Step 1 · friendly reminder",IF(I20="Open","—",IF(H20&gt;=30,"Step 5 · final notice",IF(H20&gt;=14,"Step 4 · firm notice + pause",IF(H20&gt;=7,"Step 3 · direct follow-up + call","Step 2 · due-date nudge"))))))</f>
        <v/>
      </c>
    </row>
    <row r="21">
      <c r="B21" s="17" t="n"/>
      <c r="C21" s="17" t="n"/>
      <c r="D21" s="30" t="n"/>
      <c r="E21" s="31" t="n"/>
      <c r="F21" s="31" t="n"/>
      <c r="G21" s="31" t="n"/>
      <c r="H21" s="32">
        <f>IF(OR(F21="",G21&lt;&gt;""),"",MAX(0,TODAY()-F21))</f>
        <v/>
      </c>
      <c r="I21" s="32">
        <f>IF(B21="","",IF(G21&lt;&gt;"","Paid",IF(F21="","No due date",IF(TODAY()&gt;F21,"Overdue",IF(F21-TODAY()&lt;=3,"Due soon","Open")))))</f>
        <v/>
      </c>
      <c r="J21" s="32">
        <f>IF(OR(I21="Paid",I21=""),"",IF(I21="Due soon","Step 1 · friendly reminder",IF(I21="Open","—",IF(H21&gt;=30,"Step 5 · final notice",IF(H21&gt;=14,"Step 4 · firm notice + pause",IF(H21&gt;=7,"Step 3 · direct follow-up + call","Step 2 · due-date nudge"))))))</f>
        <v/>
      </c>
    </row>
    <row r="22">
      <c r="B22" s="17" t="n"/>
      <c r="C22" s="17" t="n"/>
      <c r="D22" s="30" t="n"/>
      <c r="E22" s="31" t="n"/>
      <c r="F22" s="31" t="n"/>
      <c r="G22" s="31" t="n"/>
      <c r="H22" s="32">
        <f>IF(OR(F22="",G22&lt;&gt;""),"",MAX(0,TODAY()-F22))</f>
        <v/>
      </c>
      <c r="I22" s="32">
        <f>IF(B22="","",IF(G22&lt;&gt;"","Paid",IF(F22="","No due date",IF(TODAY()&gt;F22,"Overdue",IF(F22-TODAY()&lt;=3,"Due soon","Open")))))</f>
        <v/>
      </c>
      <c r="J22" s="32">
        <f>IF(OR(I22="Paid",I22=""),"",IF(I22="Due soon","Step 1 · friendly reminder",IF(I22="Open","—",IF(H22&gt;=30,"Step 5 · final notice",IF(H22&gt;=14,"Step 4 · firm notice + pause",IF(H22&gt;=7,"Step 3 · direct follow-up + call","Step 2 · due-date nudge"))))))</f>
        <v/>
      </c>
    </row>
    <row r="23">
      <c r="B23" s="17" t="n"/>
      <c r="C23" s="17" t="n"/>
      <c r="D23" s="30" t="n"/>
      <c r="E23" s="31" t="n"/>
      <c r="F23" s="31" t="n"/>
      <c r="G23" s="31" t="n"/>
      <c r="H23" s="32">
        <f>IF(OR(F23="",G23&lt;&gt;""),"",MAX(0,TODAY()-F23))</f>
        <v/>
      </c>
      <c r="I23" s="32">
        <f>IF(B23="","",IF(G23&lt;&gt;"","Paid",IF(F23="","No due date",IF(TODAY()&gt;F23,"Overdue",IF(F23-TODAY()&lt;=3,"Due soon","Open")))))</f>
        <v/>
      </c>
      <c r="J23" s="32">
        <f>IF(OR(I23="Paid",I23=""),"",IF(I23="Due soon","Step 1 · friendly reminder",IF(I23="Open","—",IF(H23&gt;=30,"Step 5 · final notice",IF(H23&gt;=14,"Step 4 · firm notice + pause",IF(H23&gt;=7,"Step 3 · direct follow-up + call","Step 2 · due-date nudge"))))))</f>
        <v/>
      </c>
    </row>
    <row r="24">
      <c r="B24" s="17" t="n"/>
      <c r="C24" s="17" t="n"/>
      <c r="D24" s="30" t="n"/>
      <c r="E24" s="31" t="n"/>
      <c r="F24" s="31" t="n"/>
      <c r="G24" s="31" t="n"/>
      <c r="H24" s="32">
        <f>IF(OR(F24="",G24&lt;&gt;""),"",MAX(0,TODAY()-F24))</f>
        <v/>
      </c>
      <c r="I24" s="32">
        <f>IF(B24="","",IF(G24&lt;&gt;"","Paid",IF(F24="","No due date",IF(TODAY()&gt;F24,"Overdue",IF(F24-TODAY()&lt;=3,"Due soon","Open")))))</f>
        <v/>
      </c>
      <c r="J24" s="32">
        <f>IF(OR(I24="Paid",I24=""),"",IF(I24="Due soon","Step 1 · friendly reminder",IF(I24="Open","—",IF(H24&gt;=30,"Step 5 · final notice",IF(H24&gt;=14,"Step 4 · firm notice + pause",IF(H24&gt;=7,"Step 3 · direct follow-up + call","Step 2 · due-date nudge"))))))</f>
        <v/>
      </c>
    </row>
    <row r="25">
      <c r="B25" s="17" t="n"/>
      <c r="C25" s="17" t="n"/>
      <c r="D25" s="30" t="n"/>
      <c r="E25" s="31" t="n"/>
      <c r="F25" s="31" t="n"/>
      <c r="G25" s="31" t="n"/>
      <c r="H25" s="32">
        <f>IF(OR(F25="",G25&lt;&gt;""),"",MAX(0,TODAY()-F25))</f>
        <v/>
      </c>
      <c r="I25" s="32">
        <f>IF(B25="","",IF(G25&lt;&gt;"","Paid",IF(F25="","No due date",IF(TODAY()&gt;F25,"Overdue",IF(F25-TODAY()&lt;=3,"Due soon","Open")))))</f>
        <v/>
      </c>
      <c r="J25" s="32">
        <f>IF(OR(I25="Paid",I25=""),"",IF(I25="Due soon","Step 1 · friendly reminder",IF(I25="Open","—",IF(H25&gt;=30,"Step 5 · final notice",IF(H25&gt;=14,"Step 4 · firm notice + pause",IF(H25&gt;=7,"Step 3 · direct follow-up + call","Step 2 · due-date nudge"))))))</f>
        <v/>
      </c>
    </row>
    <row r="26">
      <c r="B26" s="17" t="n"/>
      <c r="C26" s="17" t="n"/>
      <c r="D26" s="30" t="n"/>
      <c r="E26" s="31" t="n"/>
      <c r="F26" s="31" t="n"/>
      <c r="G26" s="31" t="n"/>
      <c r="H26" s="32">
        <f>IF(OR(F26="",G26&lt;&gt;""),"",MAX(0,TODAY()-F26))</f>
        <v/>
      </c>
      <c r="I26" s="32">
        <f>IF(B26="","",IF(G26&lt;&gt;"","Paid",IF(F26="","No due date",IF(TODAY()&gt;F26,"Overdue",IF(F26-TODAY()&lt;=3,"Due soon","Open")))))</f>
        <v/>
      </c>
      <c r="J26" s="32">
        <f>IF(OR(I26="Paid",I26=""),"",IF(I26="Due soon","Step 1 · friendly reminder",IF(I26="Open","—",IF(H26&gt;=30,"Step 5 · final notice",IF(H26&gt;=14,"Step 4 · firm notice + pause",IF(H26&gt;=7,"Step 3 · direct follow-up + call","Step 2 · due-date nudge"))))))</f>
        <v/>
      </c>
    </row>
    <row r="27">
      <c r="B27" s="17" t="n"/>
      <c r="C27" s="17" t="n"/>
      <c r="D27" s="30" t="n"/>
      <c r="E27" s="31" t="n"/>
      <c r="F27" s="31" t="n"/>
      <c r="G27" s="31" t="n"/>
      <c r="H27" s="32">
        <f>IF(OR(F27="",G27&lt;&gt;""),"",MAX(0,TODAY()-F27))</f>
        <v/>
      </c>
      <c r="I27" s="32">
        <f>IF(B27="","",IF(G27&lt;&gt;"","Paid",IF(F27="","No due date",IF(TODAY()&gt;F27,"Overdue",IF(F27-TODAY()&lt;=3,"Due soon","Open")))))</f>
        <v/>
      </c>
      <c r="J27" s="32">
        <f>IF(OR(I27="Paid",I27=""),"",IF(I27="Due soon","Step 1 · friendly reminder",IF(I27="Open","—",IF(H27&gt;=30,"Step 5 · final notice",IF(H27&gt;=14,"Step 4 · firm notice + pause",IF(H27&gt;=7,"Step 3 · direct follow-up + call","Step 2 · due-date nudge"))))))</f>
        <v/>
      </c>
    </row>
    <row r="28">
      <c r="B28" s="17" t="n"/>
      <c r="C28" s="17" t="n"/>
      <c r="D28" s="30" t="n"/>
      <c r="E28" s="31" t="n"/>
      <c r="F28" s="31" t="n"/>
      <c r="G28" s="31" t="n"/>
      <c r="H28" s="32">
        <f>IF(OR(F28="",G28&lt;&gt;""),"",MAX(0,TODAY()-F28))</f>
        <v/>
      </c>
      <c r="I28" s="32">
        <f>IF(B28="","",IF(G28&lt;&gt;"","Paid",IF(F28="","No due date",IF(TODAY()&gt;F28,"Overdue",IF(F28-TODAY()&lt;=3,"Due soon","Open")))))</f>
        <v/>
      </c>
      <c r="J28" s="32">
        <f>IF(OR(I28="Paid",I28=""),"",IF(I28="Due soon","Step 1 · friendly reminder",IF(I28="Open","—",IF(H28&gt;=30,"Step 5 · final notice",IF(H28&gt;=14,"Step 4 · firm notice + pause",IF(H28&gt;=7,"Step 3 · direct follow-up + call","Step 2 · due-date nudge"))))))</f>
        <v/>
      </c>
    </row>
    <row r="29">
      <c r="B29" s="17" t="n"/>
      <c r="C29" s="17" t="n"/>
      <c r="D29" s="30" t="n"/>
      <c r="E29" s="31" t="n"/>
      <c r="F29" s="31" t="n"/>
      <c r="G29" s="31" t="n"/>
      <c r="H29" s="32">
        <f>IF(OR(F29="",G29&lt;&gt;""),"",MAX(0,TODAY()-F29))</f>
        <v/>
      </c>
      <c r="I29" s="32">
        <f>IF(B29="","",IF(G29&lt;&gt;"","Paid",IF(F29="","No due date",IF(TODAY()&gt;F29,"Overdue",IF(F29-TODAY()&lt;=3,"Due soon","Open")))))</f>
        <v/>
      </c>
      <c r="J29" s="32">
        <f>IF(OR(I29="Paid",I29=""),"",IF(I29="Due soon","Step 1 · friendly reminder",IF(I29="Open","—",IF(H29&gt;=30,"Step 5 · final notice",IF(H29&gt;=14,"Step 4 · firm notice + pause",IF(H29&gt;=7,"Step 3 · direct follow-up + call","Step 2 · due-date nudge"))))))</f>
        <v/>
      </c>
    </row>
    <row r="30">
      <c r="B30" s="17" t="n"/>
      <c r="C30" s="17" t="n"/>
      <c r="D30" s="30" t="n"/>
      <c r="E30" s="31" t="n"/>
      <c r="F30" s="31" t="n"/>
      <c r="G30" s="31" t="n"/>
      <c r="H30" s="32">
        <f>IF(OR(F30="",G30&lt;&gt;""),"",MAX(0,TODAY()-F30))</f>
        <v/>
      </c>
      <c r="I30" s="32">
        <f>IF(B30="","",IF(G30&lt;&gt;"","Paid",IF(F30="","No due date",IF(TODAY()&gt;F30,"Overdue",IF(F30-TODAY()&lt;=3,"Due soon","Open")))))</f>
        <v/>
      </c>
      <c r="J30" s="32">
        <f>IF(OR(I30="Paid",I30=""),"",IF(I30="Due soon","Step 1 · friendly reminder",IF(I30="Open","—",IF(H30&gt;=30,"Step 5 · final notice",IF(H30&gt;=14,"Step 4 · firm notice + pause",IF(H30&gt;=7,"Step 3 · direct follow-up + call","Step 2 · due-date nudge"))))))</f>
        <v/>
      </c>
    </row>
    <row r="31">
      <c r="B31" s="17" t="n"/>
      <c r="C31" s="17" t="n"/>
      <c r="D31" s="30" t="n"/>
      <c r="E31" s="31" t="n"/>
      <c r="F31" s="31" t="n"/>
      <c r="G31" s="31" t="n"/>
      <c r="H31" s="32">
        <f>IF(OR(F31="",G31&lt;&gt;""),"",MAX(0,TODAY()-F31))</f>
        <v/>
      </c>
      <c r="I31" s="32">
        <f>IF(B31="","",IF(G31&lt;&gt;"","Paid",IF(F31="","No due date",IF(TODAY()&gt;F31,"Overdue",IF(F31-TODAY()&lt;=3,"Due soon","Open")))))</f>
        <v/>
      </c>
      <c r="J31" s="32">
        <f>IF(OR(I31="Paid",I31=""),"",IF(I31="Due soon","Step 1 · friendly reminder",IF(I31="Open","—",IF(H31&gt;=30,"Step 5 · final notice",IF(H31&gt;=14,"Step 4 · firm notice + pause",IF(H31&gt;=7,"Step 3 · direct follow-up + call","Step 2 · due-date nudge"))))))</f>
        <v/>
      </c>
    </row>
    <row r="32">
      <c r="B32" s="17" t="n"/>
      <c r="C32" s="17" t="n"/>
      <c r="D32" s="30" t="n"/>
      <c r="E32" s="31" t="n"/>
      <c r="F32" s="31" t="n"/>
      <c r="G32" s="31" t="n"/>
      <c r="H32" s="32">
        <f>IF(OR(F32="",G32&lt;&gt;""),"",MAX(0,TODAY()-F32))</f>
        <v/>
      </c>
      <c r="I32" s="32">
        <f>IF(B32="","",IF(G32&lt;&gt;"","Paid",IF(F32="","No due date",IF(TODAY()&gt;F32,"Overdue",IF(F32-TODAY()&lt;=3,"Due soon","Open")))))</f>
        <v/>
      </c>
      <c r="J32" s="32">
        <f>IF(OR(I32="Paid",I32=""),"",IF(I32="Due soon","Step 1 · friendly reminder",IF(I32="Open","—",IF(H32&gt;=30,"Step 5 · final notice",IF(H32&gt;=14,"Step 4 · firm notice + pause",IF(H32&gt;=7,"Step 3 · direct follow-up + call","Step 2 · due-date nudge"))))))</f>
        <v/>
      </c>
    </row>
    <row r="33">
      <c r="B33" s="17" t="n"/>
      <c r="C33" s="17" t="n"/>
      <c r="D33" s="30" t="n"/>
      <c r="E33" s="31" t="n"/>
      <c r="F33" s="31" t="n"/>
      <c r="G33" s="31" t="n"/>
      <c r="H33" s="32">
        <f>IF(OR(F33="",G33&lt;&gt;""),"",MAX(0,TODAY()-F33))</f>
        <v/>
      </c>
      <c r="I33" s="32">
        <f>IF(B33="","",IF(G33&lt;&gt;"","Paid",IF(F33="","No due date",IF(TODAY()&gt;F33,"Overdue",IF(F33-TODAY()&lt;=3,"Due soon","Open")))))</f>
        <v/>
      </c>
      <c r="J33" s="32">
        <f>IF(OR(I33="Paid",I33=""),"",IF(I33="Due soon","Step 1 · friendly reminder",IF(I33="Open","—",IF(H33&gt;=30,"Step 5 · final notice",IF(H33&gt;=14,"Step 4 · firm notice + pause",IF(H33&gt;=7,"Step 3 · direct follow-up + call","Step 2 · due-date nudge"))))))</f>
        <v/>
      </c>
    </row>
    <row r="34">
      <c r="B34" s="17" t="n"/>
      <c r="C34" s="17" t="n"/>
      <c r="D34" s="30" t="n"/>
      <c r="E34" s="31" t="n"/>
      <c r="F34" s="31" t="n"/>
      <c r="G34" s="31" t="n"/>
      <c r="H34" s="32">
        <f>IF(OR(F34="",G34&lt;&gt;""),"",MAX(0,TODAY()-F34))</f>
        <v/>
      </c>
      <c r="I34" s="32">
        <f>IF(B34="","",IF(G34&lt;&gt;"","Paid",IF(F34="","No due date",IF(TODAY()&gt;F34,"Overdue",IF(F34-TODAY()&lt;=3,"Due soon","Open")))))</f>
        <v/>
      </c>
      <c r="J34" s="32">
        <f>IF(OR(I34="Paid",I34=""),"",IF(I34="Due soon","Step 1 · friendly reminder",IF(I34="Open","—",IF(H34&gt;=30,"Step 5 · final notice",IF(H34&gt;=14,"Step 4 · firm notice + pause",IF(H34&gt;=7,"Step 3 · direct follow-up + call","Step 2 · due-date nudge"))))))</f>
        <v/>
      </c>
    </row>
    <row r="35">
      <c r="B35" s="17" t="n"/>
      <c r="C35" s="17" t="n"/>
      <c r="D35" s="30" t="n"/>
      <c r="E35" s="31" t="n"/>
      <c r="F35" s="31" t="n"/>
      <c r="G35" s="31" t="n"/>
      <c r="H35" s="32">
        <f>IF(OR(F35="",G35&lt;&gt;""),"",MAX(0,TODAY()-F35))</f>
        <v/>
      </c>
      <c r="I35" s="32">
        <f>IF(B35="","",IF(G35&lt;&gt;"","Paid",IF(F35="","No due date",IF(TODAY()&gt;F35,"Overdue",IF(F35-TODAY()&lt;=3,"Due soon","Open")))))</f>
        <v/>
      </c>
      <c r="J35" s="32">
        <f>IF(OR(I35="Paid",I35=""),"",IF(I35="Due soon","Step 1 · friendly reminder",IF(I35="Open","—",IF(H35&gt;=30,"Step 5 · final notice",IF(H35&gt;=14,"Step 4 · firm notice + pause",IF(H35&gt;=7,"Step 3 · direct follow-up + call","Step 2 · due-date nudge"))))))</f>
        <v/>
      </c>
    </row>
    <row r="36">
      <c r="B36" s="17" t="n"/>
      <c r="C36" s="17" t="n"/>
      <c r="D36" s="30" t="n"/>
      <c r="E36" s="31" t="n"/>
      <c r="F36" s="31" t="n"/>
      <c r="G36" s="31" t="n"/>
      <c r="H36" s="32">
        <f>IF(OR(F36="",G36&lt;&gt;""),"",MAX(0,TODAY()-F36))</f>
        <v/>
      </c>
      <c r="I36" s="32">
        <f>IF(B36="","",IF(G36&lt;&gt;"","Paid",IF(F36="","No due date",IF(TODAY()&gt;F36,"Overdue",IF(F36-TODAY()&lt;=3,"Due soon","Open")))))</f>
        <v/>
      </c>
      <c r="J36" s="32">
        <f>IF(OR(I36="Paid",I36=""),"",IF(I36="Due soon","Step 1 · friendly reminder",IF(I36="Open","—",IF(H36&gt;=30,"Step 5 · final notice",IF(H36&gt;=14,"Step 4 · firm notice + pause",IF(H36&gt;=7,"Step 3 · direct follow-up + call","Step 2 · due-date nudge"))))))</f>
        <v/>
      </c>
    </row>
    <row r="37">
      <c r="B37" s="17" t="n"/>
      <c r="C37" s="17" t="n"/>
      <c r="D37" s="30" t="n"/>
      <c r="E37" s="31" t="n"/>
      <c r="F37" s="31" t="n"/>
      <c r="G37" s="31" t="n"/>
      <c r="H37" s="32">
        <f>IF(OR(F37="",G37&lt;&gt;""),"",MAX(0,TODAY()-F37))</f>
        <v/>
      </c>
      <c r="I37" s="32">
        <f>IF(B37="","",IF(G37&lt;&gt;"","Paid",IF(F37="","No due date",IF(TODAY()&gt;F37,"Overdue",IF(F37-TODAY()&lt;=3,"Due soon","Open")))))</f>
        <v/>
      </c>
      <c r="J37" s="32">
        <f>IF(OR(I37="Paid",I37=""),"",IF(I37="Due soon","Step 1 · friendly reminder",IF(I37="Open","—",IF(H37&gt;=30,"Step 5 · final notice",IF(H37&gt;=14,"Step 4 · firm notice + pause",IF(H37&gt;=7,"Step 3 · direct follow-up + call","Step 2 · due-date nudge"))))))</f>
        <v/>
      </c>
    </row>
    <row r="38">
      <c r="B38" s="17" t="n"/>
      <c r="C38" s="17" t="n"/>
      <c r="D38" s="30" t="n"/>
      <c r="E38" s="31" t="n"/>
      <c r="F38" s="31" t="n"/>
      <c r="G38" s="31" t="n"/>
      <c r="H38" s="32">
        <f>IF(OR(F38="",G38&lt;&gt;""),"",MAX(0,TODAY()-F38))</f>
        <v/>
      </c>
      <c r="I38" s="32">
        <f>IF(B38="","",IF(G38&lt;&gt;"","Paid",IF(F38="","No due date",IF(TODAY()&gt;F38,"Overdue",IF(F38-TODAY()&lt;=3,"Due soon","Open")))))</f>
        <v/>
      </c>
      <c r="J38" s="32">
        <f>IF(OR(I38="Paid",I38=""),"",IF(I38="Due soon","Step 1 · friendly reminder",IF(I38="Open","—",IF(H38&gt;=30,"Step 5 · final notice",IF(H38&gt;=14,"Step 4 · firm notice + pause",IF(H38&gt;=7,"Step 3 · direct follow-up + call","Step 2 · due-date nudge"))))))</f>
        <v/>
      </c>
    </row>
    <row r="39">
      <c r="B39" s="17" t="n"/>
      <c r="C39" s="17" t="n"/>
      <c r="D39" s="30" t="n"/>
      <c r="E39" s="31" t="n"/>
      <c r="F39" s="31" t="n"/>
      <c r="G39" s="31" t="n"/>
      <c r="H39" s="32">
        <f>IF(OR(F39="",G39&lt;&gt;""),"",MAX(0,TODAY()-F39))</f>
        <v/>
      </c>
      <c r="I39" s="32">
        <f>IF(B39="","",IF(G39&lt;&gt;"","Paid",IF(F39="","No due date",IF(TODAY()&gt;F39,"Overdue",IF(F39-TODAY()&lt;=3,"Due soon","Open")))))</f>
        <v/>
      </c>
      <c r="J39" s="32">
        <f>IF(OR(I39="Paid",I39=""),"",IF(I39="Due soon","Step 1 · friendly reminder",IF(I39="Open","—",IF(H39&gt;=30,"Step 5 · final notice",IF(H39&gt;=14,"Step 4 · firm notice + pause",IF(H39&gt;=7,"Step 3 · direct follow-up + call","Step 2 · due-date nudge"))))))</f>
        <v/>
      </c>
    </row>
    <row r="40">
      <c r="B40" s="17" t="n"/>
      <c r="C40" s="17" t="n"/>
      <c r="D40" s="30" t="n"/>
      <c r="E40" s="31" t="n"/>
      <c r="F40" s="31" t="n"/>
      <c r="G40" s="31" t="n"/>
      <c r="H40" s="32">
        <f>IF(OR(F40="",G40&lt;&gt;""),"",MAX(0,TODAY()-F40))</f>
        <v/>
      </c>
      <c r="I40" s="32">
        <f>IF(B40="","",IF(G40&lt;&gt;"","Paid",IF(F40="","No due date",IF(TODAY()&gt;F40,"Overdue",IF(F40-TODAY()&lt;=3,"Due soon","Open")))))</f>
        <v/>
      </c>
      <c r="J40" s="32">
        <f>IF(OR(I40="Paid",I40=""),"",IF(I40="Due soon","Step 1 · friendly reminder",IF(I40="Open","—",IF(H40&gt;=30,"Step 5 · final notice",IF(H40&gt;=14,"Step 4 · firm notice + pause",IF(H40&gt;=7,"Step 3 · direct follow-up + call","Step 2 · due-date nudge"))))))</f>
        <v/>
      </c>
    </row>
    <row r="41">
      <c r="B41" s="17" t="n"/>
      <c r="C41" s="17" t="n"/>
      <c r="D41" s="30" t="n"/>
      <c r="E41" s="31" t="n"/>
      <c r="F41" s="31" t="n"/>
      <c r="G41" s="31" t="n"/>
      <c r="H41" s="32">
        <f>IF(OR(F41="",G41&lt;&gt;""),"",MAX(0,TODAY()-F41))</f>
        <v/>
      </c>
      <c r="I41" s="32">
        <f>IF(B41="","",IF(G41&lt;&gt;"","Paid",IF(F41="","No due date",IF(TODAY()&gt;F41,"Overdue",IF(F41-TODAY()&lt;=3,"Due soon","Open")))))</f>
        <v/>
      </c>
      <c r="J41" s="32">
        <f>IF(OR(I41="Paid",I41=""),"",IF(I41="Due soon","Step 1 · friendly reminder",IF(I41="Open","—",IF(H41&gt;=30,"Step 5 · final notice",IF(H41&gt;=14,"Step 4 · firm notice + pause",IF(H41&gt;=7,"Step 3 · direct follow-up + call","Step 2 · due-date nudge"))))))</f>
        <v/>
      </c>
    </row>
    <row r="42">
      <c r="B42" s="17" t="n"/>
      <c r="C42" s="17" t="n"/>
      <c r="D42" s="30" t="n"/>
      <c r="E42" s="31" t="n"/>
      <c r="F42" s="31" t="n"/>
      <c r="G42" s="31" t="n"/>
      <c r="H42" s="32">
        <f>IF(OR(F42="",G42&lt;&gt;""),"",MAX(0,TODAY()-F42))</f>
        <v/>
      </c>
      <c r="I42" s="32">
        <f>IF(B42="","",IF(G42&lt;&gt;"","Paid",IF(F42="","No due date",IF(TODAY()&gt;F42,"Overdue",IF(F42-TODAY()&lt;=3,"Due soon","Open")))))</f>
        <v/>
      </c>
      <c r="J42" s="32">
        <f>IF(OR(I42="Paid",I42=""),"",IF(I42="Due soon","Step 1 · friendly reminder",IF(I42="Open","—",IF(H42&gt;=30,"Step 5 · final notice",IF(H42&gt;=14,"Step 4 · firm notice + pause",IF(H42&gt;=7,"Step 3 · direct follow-up + call","Step 2 · due-date nudge"))))))</f>
        <v/>
      </c>
    </row>
    <row r="43">
      <c r="B43" s="17" t="n"/>
      <c r="C43" s="17" t="n"/>
      <c r="D43" s="30" t="n"/>
      <c r="E43" s="31" t="n"/>
      <c r="F43" s="31" t="n"/>
      <c r="G43" s="31" t="n"/>
      <c r="H43" s="32">
        <f>IF(OR(F43="",G43&lt;&gt;""),"",MAX(0,TODAY()-F43))</f>
        <v/>
      </c>
      <c r="I43" s="32">
        <f>IF(B43="","",IF(G43&lt;&gt;"","Paid",IF(F43="","No due date",IF(TODAY()&gt;F43,"Overdue",IF(F43-TODAY()&lt;=3,"Due soon","Open")))))</f>
        <v/>
      </c>
      <c r="J43" s="32">
        <f>IF(OR(I43="Paid",I43=""),"",IF(I43="Due soon","Step 1 · friendly reminder",IF(I43="Open","—",IF(H43&gt;=30,"Step 5 · final notice",IF(H43&gt;=14,"Step 4 · firm notice + pause",IF(H43&gt;=7,"Step 3 · direct follow-up + call","Step 2 · due-date nudge"))))))</f>
        <v/>
      </c>
    </row>
    <row r="44">
      <c r="B44" s="17" t="n"/>
      <c r="C44" s="17" t="n"/>
      <c r="D44" s="30" t="n"/>
      <c r="E44" s="31" t="n"/>
      <c r="F44" s="31" t="n"/>
      <c r="G44" s="31" t="n"/>
      <c r="H44" s="32">
        <f>IF(OR(F44="",G44&lt;&gt;""),"",MAX(0,TODAY()-F44))</f>
        <v/>
      </c>
      <c r="I44" s="32">
        <f>IF(B44="","",IF(G44&lt;&gt;"","Paid",IF(F44="","No due date",IF(TODAY()&gt;F44,"Overdue",IF(F44-TODAY()&lt;=3,"Due soon","Open")))))</f>
        <v/>
      </c>
      <c r="J44" s="32">
        <f>IF(OR(I44="Paid",I44=""),"",IF(I44="Due soon","Step 1 · friendly reminder",IF(I44="Open","—",IF(H44&gt;=30,"Step 5 · final notice",IF(H44&gt;=14,"Step 4 · firm notice + pause",IF(H44&gt;=7,"Step 3 · direct follow-up + call","Step 2 · due-date nudge"))))))</f>
        <v/>
      </c>
    </row>
    <row r="45">
      <c r="B45" s="17" t="n"/>
      <c r="C45" s="17" t="n"/>
      <c r="D45" s="30" t="n"/>
      <c r="E45" s="31" t="n"/>
      <c r="F45" s="31" t="n"/>
      <c r="G45" s="31" t="n"/>
      <c r="H45" s="32">
        <f>IF(OR(F45="",G45&lt;&gt;""),"",MAX(0,TODAY()-F45))</f>
        <v/>
      </c>
      <c r="I45" s="32">
        <f>IF(B45="","",IF(G45&lt;&gt;"","Paid",IF(F45="","No due date",IF(TODAY()&gt;F45,"Overdue",IF(F45-TODAY()&lt;=3,"Due soon","Open")))))</f>
        <v/>
      </c>
      <c r="J45" s="32">
        <f>IF(OR(I45="Paid",I45=""),"",IF(I45="Due soon","Step 1 · friendly reminder",IF(I45="Open","—",IF(H45&gt;=30,"Step 5 · final notice",IF(H45&gt;=14,"Step 4 · firm notice + pause",IF(H45&gt;=7,"Step 3 · direct follow-up + call","Step 2 · due-date nudge"))))))</f>
        <v/>
      </c>
    </row>
    <row r="46">
      <c r="B46" s="17" t="n"/>
      <c r="C46" s="17" t="n"/>
      <c r="D46" s="30" t="n"/>
      <c r="E46" s="31" t="n"/>
      <c r="F46" s="31" t="n"/>
      <c r="G46" s="31" t="n"/>
      <c r="H46" s="32">
        <f>IF(OR(F46="",G46&lt;&gt;""),"",MAX(0,TODAY()-F46))</f>
        <v/>
      </c>
      <c r="I46" s="32">
        <f>IF(B46="","",IF(G46&lt;&gt;"","Paid",IF(F46="","No due date",IF(TODAY()&gt;F46,"Overdue",IF(F46-TODAY()&lt;=3,"Due soon","Open")))))</f>
        <v/>
      </c>
      <c r="J46" s="32">
        <f>IF(OR(I46="Paid",I46=""),"",IF(I46="Due soon","Step 1 · friendly reminder",IF(I46="Open","—",IF(H46&gt;=30,"Step 5 · final notice",IF(H46&gt;=14,"Step 4 · firm notice + pause",IF(H46&gt;=7,"Step 3 · direct follow-up + call","Step 2 · due-date nudge"))))))</f>
        <v/>
      </c>
    </row>
    <row r="47">
      <c r="B47" s="17" t="n"/>
      <c r="C47" s="17" t="n"/>
      <c r="D47" s="30" t="n"/>
      <c r="E47" s="31" t="n"/>
      <c r="F47" s="31" t="n"/>
      <c r="G47" s="31" t="n"/>
      <c r="H47" s="32">
        <f>IF(OR(F47="",G47&lt;&gt;""),"",MAX(0,TODAY()-F47))</f>
        <v/>
      </c>
      <c r="I47" s="32">
        <f>IF(B47="","",IF(G47&lt;&gt;"","Paid",IF(F47="","No due date",IF(TODAY()&gt;F47,"Overdue",IF(F47-TODAY()&lt;=3,"Due soon","Open")))))</f>
        <v/>
      </c>
      <c r="J47" s="32">
        <f>IF(OR(I47="Paid",I47=""),"",IF(I47="Due soon","Step 1 · friendly reminder",IF(I47="Open","—",IF(H47&gt;=30,"Step 5 · final notice",IF(H47&gt;=14,"Step 4 · firm notice + pause",IF(H47&gt;=7,"Step 3 · direct follow-up + call","Step 2 · due-date nudge"))))))</f>
        <v/>
      </c>
    </row>
    <row r="48">
      <c r="B48" s="17" t="n"/>
      <c r="C48" s="17" t="n"/>
      <c r="D48" s="30" t="n"/>
      <c r="E48" s="31" t="n"/>
      <c r="F48" s="31" t="n"/>
      <c r="G48" s="31" t="n"/>
      <c r="H48" s="32">
        <f>IF(OR(F48="",G48&lt;&gt;""),"",MAX(0,TODAY()-F48))</f>
        <v/>
      </c>
      <c r="I48" s="32">
        <f>IF(B48="","",IF(G48&lt;&gt;"","Paid",IF(F48="","No due date",IF(TODAY()&gt;F48,"Overdue",IF(F48-TODAY()&lt;=3,"Due soon","Open")))))</f>
        <v/>
      </c>
      <c r="J48" s="32">
        <f>IF(OR(I48="Paid",I48=""),"",IF(I48="Due soon","Step 1 · friendly reminder",IF(I48="Open","—",IF(H48&gt;=30,"Step 5 · final notice",IF(H48&gt;=14,"Step 4 · firm notice + pause",IF(H48&gt;=7,"Step 3 · direct follow-up + call","Step 2 · due-date nudge"))))))</f>
        <v/>
      </c>
    </row>
    <row r="49">
      <c r="B49" s="17" t="n"/>
      <c r="C49" s="17" t="n"/>
      <c r="D49" s="30" t="n"/>
      <c r="E49" s="31" t="n"/>
      <c r="F49" s="31" t="n"/>
      <c r="G49" s="31" t="n"/>
      <c r="H49" s="32">
        <f>IF(OR(F49="",G49&lt;&gt;""),"",MAX(0,TODAY()-F49))</f>
        <v/>
      </c>
      <c r="I49" s="32">
        <f>IF(B49="","",IF(G49&lt;&gt;"","Paid",IF(F49="","No due date",IF(TODAY()&gt;F49,"Overdue",IF(F49-TODAY()&lt;=3,"Due soon","Open")))))</f>
        <v/>
      </c>
      <c r="J49" s="32">
        <f>IF(OR(I49="Paid",I49=""),"",IF(I49="Due soon","Step 1 · friendly reminder",IF(I49="Open","—",IF(H49&gt;=30,"Step 5 · final notice",IF(H49&gt;=14,"Step 4 · firm notice + pause",IF(H49&gt;=7,"Step 3 · direct follow-up + call","Step 2 · due-date nudge"))))))</f>
        <v/>
      </c>
    </row>
    <row r="50">
      <c r="B50" s="17" t="n"/>
      <c r="C50" s="17" t="n"/>
      <c r="D50" s="30" t="n"/>
      <c r="E50" s="31" t="n"/>
      <c r="F50" s="31" t="n"/>
      <c r="G50" s="31" t="n"/>
      <c r="H50" s="32">
        <f>IF(OR(F50="",G50&lt;&gt;""),"",MAX(0,TODAY()-F50))</f>
        <v/>
      </c>
      <c r="I50" s="32">
        <f>IF(B50="","",IF(G50&lt;&gt;"","Paid",IF(F50="","No due date",IF(TODAY()&gt;F50,"Overdue",IF(F50-TODAY()&lt;=3,"Due soon","Open")))))</f>
        <v/>
      </c>
      <c r="J50" s="32">
        <f>IF(OR(I50="Paid",I50=""),"",IF(I50="Due soon","Step 1 · friendly reminder",IF(I50="Open","—",IF(H50&gt;=30,"Step 5 · final notice",IF(H50&gt;=14,"Step 4 · firm notice + pause",IF(H50&gt;=7,"Step 3 · direct follow-up + call","Step 2 · due-date nudge"))))))</f>
        <v/>
      </c>
    </row>
    <row r="51">
      <c r="B51" s="17" t="n"/>
      <c r="C51" s="17" t="n"/>
      <c r="D51" s="30" t="n"/>
      <c r="E51" s="31" t="n"/>
      <c r="F51" s="31" t="n"/>
      <c r="G51" s="31" t="n"/>
      <c r="H51" s="32">
        <f>IF(OR(F51="",G51&lt;&gt;""),"",MAX(0,TODAY()-F51))</f>
        <v/>
      </c>
      <c r="I51" s="32">
        <f>IF(B51="","",IF(G51&lt;&gt;"","Paid",IF(F51="","No due date",IF(TODAY()&gt;F51,"Overdue",IF(F51-TODAY()&lt;=3,"Due soon","Open")))))</f>
        <v/>
      </c>
      <c r="J51" s="32">
        <f>IF(OR(I51="Paid",I51=""),"",IF(I51="Due soon","Step 1 · friendly reminder",IF(I51="Open","—",IF(H51&gt;=30,"Step 5 · final notice",IF(H51&gt;=14,"Step 4 · firm notice + pause",IF(H51&gt;=7,"Step 3 · direct follow-up + call","Step 2 · due-date nudge"))))))</f>
        <v/>
      </c>
    </row>
    <row r="52">
      <c r="B52" s="17" t="n"/>
      <c r="C52" s="17" t="n"/>
      <c r="D52" s="30" t="n"/>
      <c r="E52" s="31" t="n"/>
      <c r="F52" s="31" t="n"/>
      <c r="G52" s="31" t="n"/>
      <c r="H52" s="32">
        <f>IF(OR(F52="",G52&lt;&gt;""),"",MAX(0,TODAY()-F52))</f>
        <v/>
      </c>
      <c r="I52" s="32">
        <f>IF(B52="","",IF(G52&lt;&gt;"","Paid",IF(F52="","No due date",IF(TODAY()&gt;F52,"Overdue",IF(F52-TODAY()&lt;=3,"Due soon","Open")))))</f>
        <v/>
      </c>
      <c r="J52" s="32">
        <f>IF(OR(I52="Paid",I52=""),"",IF(I52="Due soon","Step 1 · friendly reminder",IF(I52="Open","—",IF(H52&gt;=30,"Step 5 · final notice",IF(H52&gt;=14,"Step 4 · firm notice + pause",IF(H52&gt;=7,"Step 3 · direct follow-up + call","Step 2 · due-date nudge"))))))</f>
        <v/>
      </c>
    </row>
    <row r="53">
      <c r="B53" s="17" t="n"/>
      <c r="C53" s="17" t="n"/>
      <c r="D53" s="30" t="n"/>
      <c r="E53" s="31" t="n"/>
      <c r="F53" s="31" t="n"/>
      <c r="G53" s="31" t="n"/>
      <c r="H53" s="32">
        <f>IF(OR(F53="",G53&lt;&gt;""),"",MAX(0,TODAY()-F53))</f>
        <v/>
      </c>
      <c r="I53" s="32">
        <f>IF(B53="","",IF(G53&lt;&gt;"","Paid",IF(F53="","No due date",IF(TODAY()&gt;F53,"Overdue",IF(F53-TODAY()&lt;=3,"Due soon","Open")))))</f>
        <v/>
      </c>
      <c r="J53" s="32">
        <f>IF(OR(I53="Paid",I53=""),"",IF(I53="Due soon","Step 1 · friendly reminder",IF(I53="Open","—",IF(H53&gt;=30,"Step 5 · final notice",IF(H53&gt;=14,"Step 4 · firm notice + pause",IF(H53&gt;=7,"Step 3 · direct follow-up + call","Step 2 · due-date nudge"))))))</f>
        <v/>
      </c>
    </row>
    <row r="54">
      <c r="B54" s="17" t="n"/>
      <c r="C54" s="17" t="n"/>
      <c r="D54" s="30" t="n"/>
      <c r="E54" s="31" t="n"/>
      <c r="F54" s="31" t="n"/>
      <c r="G54" s="31" t="n"/>
      <c r="H54" s="32">
        <f>IF(OR(F54="",G54&lt;&gt;""),"",MAX(0,TODAY()-F54))</f>
        <v/>
      </c>
      <c r="I54" s="32">
        <f>IF(B54="","",IF(G54&lt;&gt;"","Paid",IF(F54="","No due date",IF(TODAY()&gt;F54,"Overdue",IF(F54-TODAY()&lt;=3,"Due soon","Open")))))</f>
        <v/>
      </c>
      <c r="J54" s="32">
        <f>IF(OR(I54="Paid",I54=""),"",IF(I54="Due soon","Step 1 · friendly reminder",IF(I54="Open","—",IF(H54&gt;=30,"Step 5 · final notice",IF(H54&gt;=14,"Step 4 · firm notice + pause",IF(H54&gt;=7,"Step 3 · direct follow-up + call","Step 2 · due-date nudge"))))))</f>
        <v/>
      </c>
    </row>
    <row r="55">
      <c r="B55" s="17" t="n"/>
      <c r="C55" s="17" t="n"/>
      <c r="D55" s="30" t="n"/>
      <c r="E55" s="31" t="n"/>
      <c r="F55" s="31" t="n"/>
      <c r="G55" s="31" t="n"/>
      <c r="H55" s="32">
        <f>IF(OR(F55="",G55&lt;&gt;""),"",MAX(0,TODAY()-F55))</f>
        <v/>
      </c>
      <c r="I55" s="32">
        <f>IF(B55="","",IF(G55&lt;&gt;"","Paid",IF(F55="","No due date",IF(TODAY()&gt;F55,"Overdue",IF(F55-TODAY()&lt;=3,"Due soon","Open")))))</f>
        <v/>
      </c>
      <c r="J55" s="32">
        <f>IF(OR(I55="Paid",I55=""),"",IF(I55="Due soon","Step 1 · friendly reminder",IF(I55="Open","—",IF(H55&gt;=30,"Step 5 · final notice",IF(H55&gt;=14,"Step 4 · firm notice + pause",IF(H55&gt;=7,"Step 3 · direct follow-up + call","Step 2 · due-date nudge"))))))</f>
        <v/>
      </c>
    </row>
    <row r="58">
      <c r="B58" s="20" t="inlineStr">
        <is>
          <t>Total outstanding</t>
        </is>
      </c>
      <c r="D58" s="33">
        <f>SUMIFS(D6:D55,G6:G55,"")</f>
        <v/>
      </c>
    </row>
    <row r="59">
      <c r="B59" s="34" t="inlineStr">
        <is>
          <t>Total overdue</t>
        </is>
      </c>
      <c r="D59" s="35">
        <f>SUMIFS(D6:D55,I6:I55,"Overdue")</f>
        <v/>
      </c>
    </row>
  </sheetData>
  <conditionalFormatting sqref="I6:I55">
    <cfRule type="expression" priority="1" dxfId="0">
      <formula>$I6="Overdue"</formula>
    </cfRule>
    <cfRule type="expression" priority="2" dxfId="1">
      <formula>$I6="Paid"</formula>
    </cfRule>
    <cfRule type="expression" priority="3" dxfId="2">
      <formula>$I6="Due soon"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2026-09-27T11:38:16Z</dcterms:created>
  <dcterms:modified xsi:type="dcterms:W3CDTF">2026-09-27T11:38:16Z</dcterms:modified>
</cp:coreProperties>
</file>